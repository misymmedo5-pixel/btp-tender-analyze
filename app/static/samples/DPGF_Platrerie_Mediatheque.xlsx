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GF Chiff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8" customWidth="1" min="5" max="5"/>
    <col width="20" customWidth="1" min="6" max="6"/>
    <col width="24" customWidth="1" min="7" max="7"/>
  </cols>
  <sheetData>
    <row r="1">
      <c r="A1" s="1" t="inlineStr">
        <is>
          <t>DPGF LOT 04 - PLÂTRERIE</t>
        </is>
      </c>
    </row>
    <row r="2">
      <c r="A2" t="inlineStr">
        <is>
          <t>Bordereau des Prix Unitaires &amp; Décomposition du Prix Global (DPGF)</t>
        </is>
      </c>
    </row>
    <row r="4">
      <c r="A4" s="2" t="inlineStr">
        <is>
          <t>N°</t>
        </is>
      </c>
      <c r="B4" s="2" t="inlineStr">
        <is>
          <t>Désignation des Prestations</t>
        </is>
      </c>
      <c r="C4" s="2" t="inlineStr">
        <is>
          <t>Unité</t>
        </is>
      </c>
      <c r="D4" s="2" t="inlineStr">
        <is>
          <t>Quantité</t>
        </is>
      </c>
      <c r="E4" s="2" t="inlineStr">
        <is>
          <t>P.U. H.T. (€)</t>
        </is>
      </c>
      <c r="F4" s="2" t="inlineStr">
        <is>
          <t>Montant H.T. (€)</t>
        </is>
      </c>
      <c r="G4" s="2" t="inlineStr">
        <is>
          <t>Lot</t>
        </is>
      </c>
    </row>
    <row r="5">
      <c r="A5" t="inlineStr">
        <is>
          <t>1.01</t>
        </is>
      </c>
      <c r="B5" t="inlineStr">
        <is>
          <t>Installation de chantier, protections de sols et bennes de tri des déchets</t>
        </is>
      </c>
      <c r="C5" t="inlineStr">
        <is>
          <t>forfait</t>
        </is>
      </c>
      <c r="D5" s="3" t="n">
        <v>1</v>
      </c>
      <c r="E5" s="4" t="n">
        <v>950</v>
      </c>
      <c r="F5" s="4">
        <f>D5*E5</f>
        <v/>
      </c>
      <c r="G5" t="inlineStr">
        <is>
          <t>Lot 04 - Plâtrerie</t>
        </is>
      </c>
    </row>
    <row r="6">
      <c r="A6" t="inlineStr">
        <is>
          <t>2.01</t>
        </is>
      </c>
      <c r="B6" t="inlineStr">
        <is>
          <t>Cloison de distribution Placostil SAD 180 (Rw=58 dB) pour auditorium</t>
        </is>
      </c>
      <c r="C6" t="inlineStr">
        <is>
          <t>m²</t>
        </is>
      </c>
      <c r="D6" s="3" t="n">
        <v>220</v>
      </c>
      <c r="E6" s="4" t="n">
        <v>78</v>
      </c>
      <c r="F6" s="4">
        <f>D6*E6</f>
        <v/>
      </c>
      <c r="G6" t="inlineStr">
        <is>
          <t>Lot 04 - Plâtrerie</t>
        </is>
      </c>
    </row>
    <row r="7">
      <c r="A7" t="inlineStr">
        <is>
          <t>2.02</t>
        </is>
      </c>
      <c r="B7" t="inlineStr">
        <is>
          <t>Cloison coupe-feu EI60 Placostil 98/48 avec 2 plaques BA13 coupe-feu par face</t>
        </is>
      </c>
      <c r="C7" t="inlineStr">
        <is>
          <t>m²</t>
        </is>
      </c>
      <c r="D7" s="3" t="n">
        <v>145</v>
      </c>
      <c r="E7" s="4" t="n">
        <v>64</v>
      </c>
      <c r="F7" s="4">
        <f>D7*E7</f>
        <v/>
      </c>
      <c r="G7" t="inlineStr">
        <is>
          <t>Lot 04 - Plâtrerie</t>
        </is>
      </c>
    </row>
    <row r="8">
      <c r="A8" t="inlineStr">
        <is>
          <t>2.03</t>
        </is>
      </c>
      <c r="B8" t="inlineStr">
        <is>
          <t>Doublage thermo-acoustique sur ossature Stil F530 avec laine minérale 120mm</t>
        </is>
      </c>
      <c r="C8" t="inlineStr">
        <is>
          <t>m²</t>
        </is>
      </c>
      <c r="D8" s="3" t="n">
        <v>310</v>
      </c>
      <c r="E8" s="4" t="n">
        <v>48</v>
      </c>
      <c r="F8" s="4">
        <f>D8*E8</f>
        <v/>
      </c>
      <c r="G8" t="inlineStr">
        <is>
          <t>Lot 04 - Plâtrerie</t>
        </is>
      </c>
    </row>
    <row r="9">
      <c r="A9" t="inlineStr">
        <is>
          <t>3.01</t>
        </is>
      </c>
      <c r="B9" t="inlineStr">
        <is>
          <t>Plafond acoustique démontable en dalles Gyptone perforées 600x600 sur ossature T24</t>
        </is>
      </c>
      <c r="C9" t="inlineStr">
        <is>
          <t>m²</t>
        </is>
      </c>
      <c r="D9" s="3" t="n">
        <v>280</v>
      </c>
      <c r="E9" s="4" t="n">
        <v>62</v>
      </c>
      <c r="F9" s="4">
        <f>D9*E9</f>
        <v/>
      </c>
      <c r="G9" t="inlineStr">
        <is>
          <t>Lot 04 - Plâtrerie</t>
        </is>
      </c>
    </row>
    <row r="10">
      <c r="A10" t="inlineStr">
        <is>
          <t>3.02</t>
        </is>
      </c>
      <c r="B10" t="inlineStr">
        <is>
          <t>Plafond suspendu continu en plaques Placoplatre BA13 avec trappes de visite étanches</t>
        </is>
      </c>
      <c r="C10" t="inlineStr">
        <is>
          <t>m²</t>
        </is>
      </c>
      <c r="D10" s="3" t="n">
        <v>95</v>
      </c>
      <c r="E10" s="4" t="n">
        <v>52</v>
      </c>
      <c r="F10" s="4">
        <f>D10*E10</f>
        <v/>
      </c>
      <c r="G10" t="inlineStr">
        <is>
          <t>Lot 04 - Plâtrerie</t>
        </is>
      </c>
    </row>
    <row r="11">
      <c r="A11" t="inlineStr">
        <is>
          <t>4.01</t>
        </is>
      </c>
      <c r="B11" t="inlineStr">
        <is>
          <t>Jointoiement soigné 3 passes, ponçage fin et récolement des surfaces pour finition Q3</t>
        </is>
      </c>
      <c r="C11" t="inlineStr">
        <is>
          <t>m²</t>
        </is>
      </c>
      <c r="D11" s="3" t="n">
        <v>970</v>
      </c>
      <c r="E11" s="4" t="n">
        <v>6.5</v>
      </c>
      <c r="F11" s="4">
        <f>D11*E11</f>
        <v/>
      </c>
      <c r="G11" t="inlineStr">
        <is>
          <t>Lot 04 - Plâtrerie</t>
        </is>
      </c>
    </row>
    <row r="12">
      <c r="B12" s="5" t="inlineStr">
        <is>
          <t>TOTAL GÉNÉRAL H.T.</t>
        </is>
      </c>
      <c r="F12" s="6">
        <f>SUM(F5:F11)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2026-10-28T15:56:43Z</dcterms:created>
  <dcterms:modified xsi:type="dcterms:W3CDTF">2026-10-28T15:56:43Z</dcterms:modified>
</cp:coreProperties>
</file>